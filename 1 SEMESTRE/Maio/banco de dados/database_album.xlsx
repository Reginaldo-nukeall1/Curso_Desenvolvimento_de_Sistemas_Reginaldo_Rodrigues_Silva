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Fórmulas" sheetId="2" r:id="rId6"/>
  </sheets>
  <definedNames/>
  <calcPr/>
</workbook>
</file>

<file path=xl/sharedStrings.xml><?xml version="1.0" encoding="utf-8"?>
<sst xmlns="http://schemas.openxmlformats.org/spreadsheetml/2006/main" count="211" uniqueCount="47">
  <si>
    <t>ID</t>
  </si>
  <si>
    <t>NOME_COMPLETO</t>
  </si>
  <si>
    <t>EQUIPE</t>
  </si>
  <si>
    <t>FIGURINHA</t>
  </si>
  <si>
    <t>IDADE</t>
  </si>
  <si>
    <t>TIPO_FIGURINHA</t>
  </si>
  <si>
    <t>QUANTIDADE_ALUNOS_POR_EQUIPE</t>
  </si>
  <si>
    <t>Adiel</t>
  </si>
  <si>
    <t>QUANTIDADE_TOTAL_PESSOAS</t>
  </si>
  <si>
    <t>Mach Flas</t>
  </si>
  <si>
    <t>F</t>
  </si>
  <si>
    <t>Asaphy</t>
  </si>
  <si>
    <t>Justiceiros</t>
  </si>
  <si>
    <t>Breno</t>
  </si>
  <si>
    <t>The Bear</t>
  </si>
  <si>
    <t>Caua Lorenzo</t>
  </si>
  <si>
    <t>Cobra Kai</t>
  </si>
  <si>
    <t>Davi Lucas</t>
  </si>
  <si>
    <t>Eduardo</t>
  </si>
  <si>
    <t>Eloisa</t>
  </si>
  <si>
    <t>Esdras</t>
  </si>
  <si>
    <t>Gabriel</t>
  </si>
  <si>
    <t>Tropa do VTZ</t>
  </si>
  <si>
    <t>Igor</t>
  </si>
  <si>
    <t>Jeova</t>
  </si>
  <si>
    <t>Joao Manoel</t>
  </si>
  <si>
    <t>Joao Marcelo</t>
  </si>
  <si>
    <t>Juan Cunha</t>
  </si>
  <si>
    <t>The Extra</t>
  </si>
  <si>
    <t>Juan Paulo</t>
  </si>
  <si>
    <t>Marcos Paulo</t>
  </si>
  <si>
    <t>Nicolas</t>
  </si>
  <si>
    <t>Pedro Henrique</t>
  </si>
  <si>
    <t>aluno</t>
  </si>
  <si>
    <t>Rebeca</t>
  </si>
  <si>
    <t>Reginaldo</t>
  </si>
  <si>
    <t>Robson</t>
  </si>
  <si>
    <t>Victor Gabriel</t>
  </si>
  <si>
    <t>Victor Hugo</t>
  </si>
  <si>
    <t>QUANTO_FALTA_PRA_COMPLETAR</t>
  </si>
  <si>
    <t>equipes</t>
  </si>
  <si>
    <t>especial</t>
  </si>
  <si>
    <t>v</t>
  </si>
  <si>
    <t>grupos</t>
  </si>
  <si>
    <t>Natália</t>
  </si>
  <si>
    <t>turma</t>
  </si>
  <si>
    <t>Turma toda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</si>
</sst>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13"/>
    <col customWidth="1" min="4" max="4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7</v>
      </c>
      <c r="C2" s="1" t="s">
        <v>9</v>
      </c>
      <c r="D2" s="1" t="s">
        <v>10</v>
      </c>
      <c r="E2" s="1">
        <v>16.0</v>
      </c>
    </row>
    <row r="3">
      <c r="A3" s="1">
        <v>2.0</v>
      </c>
      <c r="B3" s="1" t="s">
        <v>11</v>
      </c>
      <c r="C3" s="1" t="s">
        <v>12</v>
      </c>
      <c r="D3" s="1" t="s">
        <v>10</v>
      </c>
      <c r="E3" s="1">
        <v>16.0</v>
      </c>
    </row>
    <row r="4">
      <c r="A4" s="1">
        <v>3.0</v>
      </c>
      <c r="B4" s="1" t="s">
        <v>13</v>
      </c>
      <c r="C4" s="1" t="s">
        <v>14</v>
      </c>
      <c r="D4" s="1" t="s">
        <v>10</v>
      </c>
      <c r="E4" s="1">
        <v>16.0</v>
      </c>
    </row>
    <row r="5">
      <c r="A5" s="1">
        <v>4.0</v>
      </c>
      <c r="B5" s="1" t="s">
        <v>15</v>
      </c>
      <c r="C5" s="1" t="s">
        <v>16</v>
      </c>
      <c r="D5" s="1" t="s">
        <v>10</v>
      </c>
      <c r="E5" s="1">
        <v>16.0</v>
      </c>
    </row>
    <row r="6">
      <c r="A6" s="1">
        <v>5.0</v>
      </c>
      <c r="B6" s="1" t="s">
        <v>17</v>
      </c>
      <c r="C6" s="1" t="s">
        <v>14</v>
      </c>
      <c r="D6" s="1" t="s">
        <v>10</v>
      </c>
      <c r="E6" s="1">
        <v>16.0</v>
      </c>
    </row>
    <row r="7">
      <c r="A7" s="1">
        <v>6.0</v>
      </c>
      <c r="B7" s="1" t="s">
        <v>18</v>
      </c>
      <c r="C7" s="1" t="s">
        <v>12</v>
      </c>
      <c r="D7" s="1" t="s">
        <v>10</v>
      </c>
      <c r="E7" s="1">
        <v>16.0</v>
      </c>
    </row>
    <row r="8">
      <c r="A8" s="1">
        <v>7.0</v>
      </c>
      <c r="B8" s="1" t="s">
        <v>19</v>
      </c>
      <c r="C8" s="1" t="s">
        <v>16</v>
      </c>
      <c r="D8" s="1" t="s">
        <v>10</v>
      </c>
      <c r="E8" s="1">
        <v>16.0</v>
      </c>
    </row>
    <row r="9">
      <c r="A9" s="1">
        <v>8.0</v>
      </c>
      <c r="B9" s="1" t="s">
        <v>20</v>
      </c>
      <c r="C9" s="1" t="s">
        <v>16</v>
      </c>
      <c r="D9" s="1" t="s">
        <v>10</v>
      </c>
      <c r="E9" s="1">
        <v>16.0</v>
      </c>
    </row>
    <row r="10">
      <c r="A10" s="1">
        <v>9.0</v>
      </c>
      <c r="B10" s="1" t="s">
        <v>21</v>
      </c>
      <c r="C10" s="1" t="s">
        <v>22</v>
      </c>
      <c r="D10" s="1" t="s">
        <v>10</v>
      </c>
      <c r="E10" s="1">
        <v>16.0</v>
      </c>
    </row>
    <row r="11">
      <c r="A11" s="1">
        <v>10.0</v>
      </c>
      <c r="B11" s="1" t="s">
        <v>23</v>
      </c>
      <c r="C11" s="1" t="s">
        <v>12</v>
      </c>
      <c r="D11" s="1" t="s">
        <v>10</v>
      </c>
      <c r="E11" s="1">
        <v>16.0</v>
      </c>
    </row>
    <row r="12">
      <c r="A12" s="1">
        <v>11.0</v>
      </c>
      <c r="B12" s="1" t="s">
        <v>24</v>
      </c>
      <c r="C12" s="1" t="s">
        <v>9</v>
      </c>
      <c r="D12" s="1" t="s">
        <v>10</v>
      </c>
      <c r="E12" s="1">
        <v>16.0</v>
      </c>
    </row>
    <row r="13">
      <c r="A13" s="1">
        <v>12.0</v>
      </c>
      <c r="B13" s="1" t="s">
        <v>25</v>
      </c>
      <c r="C13" s="1" t="s">
        <v>9</v>
      </c>
      <c r="D13" s="1" t="s">
        <v>10</v>
      </c>
      <c r="E13" s="1">
        <v>16.0</v>
      </c>
    </row>
    <row r="14">
      <c r="A14" s="1">
        <v>13.0</v>
      </c>
      <c r="B14" s="1" t="s">
        <v>26</v>
      </c>
      <c r="C14" s="1" t="s">
        <v>16</v>
      </c>
      <c r="D14" s="1" t="s">
        <v>10</v>
      </c>
      <c r="E14" s="1">
        <v>16.0</v>
      </c>
    </row>
    <row r="15">
      <c r="A15" s="1">
        <v>14.0</v>
      </c>
      <c r="B15" s="1" t="s">
        <v>27</v>
      </c>
      <c r="C15" s="1" t="s">
        <v>28</v>
      </c>
      <c r="D15" s="1" t="s">
        <v>10</v>
      </c>
      <c r="E15" s="1">
        <v>16.0</v>
      </c>
    </row>
    <row r="16">
      <c r="A16" s="1">
        <v>15.0</v>
      </c>
      <c r="B16" s="1" t="s">
        <v>29</v>
      </c>
      <c r="C16" s="1" t="s">
        <v>12</v>
      </c>
      <c r="D16" s="1" t="s">
        <v>10</v>
      </c>
      <c r="E16" s="1">
        <v>16.0</v>
      </c>
    </row>
    <row r="17">
      <c r="A17" s="1">
        <v>16.0</v>
      </c>
      <c r="B17" s="1" t="s">
        <v>30</v>
      </c>
      <c r="C17" s="1" t="s">
        <v>14</v>
      </c>
      <c r="D17" s="1" t="s">
        <v>10</v>
      </c>
      <c r="E17" s="1">
        <v>16.0</v>
      </c>
    </row>
    <row r="18">
      <c r="A18" s="1">
        <v>17.0</v>
      </c>
      <c r="B18" s="1" t="s">
        <v>31</v>
      </c>
      <c r="C18" s="1" t="s">
        <v>9</v>
      </c>
      <c r="D18" s="1" t="s">
        <v>10</v>
      </c>
      <c r="E18" s="1">
        <v>15.0</v>
      </c>
    </row>
    <row r="19">
      <c r="A19" s="1">
        <v>18.0</v>
      </c>
      <c r="B19" s="1" t="s">
        <v>32</v>
      </c>
      <c r="C19" s="1" t="s">
        <v>9</v>
      </c>
      <c r="D19" s="1" t="s">
        <v>10</v>
      </c>
      <c r="E19" s="1">
        <v>16.0</v>
      </c>
    </row>
    <row r="20">
      <c r="A20" s="1">
        <v>19.0</v>
      </c>
      <c r="B20" s="1" t="s">
        <v>34</v>
      </c>
      <c r="C20" s="1" t="s">
        <v>28</v>
      </c>
      <c r="D20" s="1" t="s">
        <v>10</v>
      </c>
      <c r="E20" s="1">
        <v>16.0</v>
      </c>
    </row>
    <row r="21">
      <c r="A21" s="1">
        <v>20.0</v>
      </c>
      <c r="B21" s="1" t="s">
        <v>35</v>
      </c>
      <c r="C21" s="1" t="s">
        <v>22</v>
      </c>
      <c r="D21" s="1" t="s">
        <v>10</v>
      </c>
      <c r="E21" s="1">
        <v>15.0</v>
      </c>
    </row>
    <row r="22">
      <c r="A22" s="1">
        <v>21.0</v>
      </c>
      <c r="B22" s="1" t="s">
        <v>36</v>
      </c>
      <c r="C22" s="1" t="s">
        <v>22</v>
      </c>
      <c r="D22" s="1" t="s">
        <v>10</v>
      </c>
      <c r="E22" s="1">
        <v>16.0</v>
      </c>
    </row>
    <row r="23">
      <c r="A23" s="1">
        <v>22.0</v>
      </c>
      <c r="B23" s="1" t="s">
        <v>37</v>
      </c>
      <c r="C23" s="1" t="s">
        <v>22</v>
      </c>
      <c r="D23" s="1" t="s">
        <v>10</v>
      </c>
      <c r="E23" s="1">
        <v>16.0</v>
      </c>
    </row>
    <row r="24">
      <c r="A24" s="1">
        <v>23.0</v>
      </c>
      <c r="B24" s="1" t="s">
        <v>38</v>
      </c>
      <c r="C24" s="1" t="s">
        <v>22</v>
      </c>
      <c r="D24" s="1" t="s">
        <v>10</v>
      </c>
      <c r="E24" s="1">
        <v>16.0</v>
      </c>
    </row>
    <row r="25">
      <c r="E25" s="2">
        <f>MEDIAN(E2:E24)</f>
        <v>16</v>
      </c>
    </row>
  </sheetData>
  <dataValidations>
    <dataValidation type="list" allowBlank="1" showErrorMessage="1" sqref="C2:C24">
      <formula1>"Cobra Kai,Justiceiros,Mach Flas,The Bear,The Extra,Tropa do VTZ"</formula1>
    </dataValidation>
    <dataValidation type="list" allowBlank="1" showErrorMessage="1" sqref="D2:D24">
      <formula1>"F,v"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13"/>
    <col customWidth="1" min="4" max="4" width="10.13"/>
    <col customWidth="1" min="5" max="5" width="15.0"/>
    <col customWidth="1" min="9" max="9" width="31.5"/>
    <col customWidth="1" min="12" max="12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I1" s="1" t="s">
        <v>6</v>
      </c>
      <c r="L1" s="1" t="s">
        <v>8</v>
      </c>
      <c r="M1" s="2">
        <f>COUNT(A2:A31)</f>
        <v>30</v>
      </c>
    </row>
    <row r="2">
      <c r="A2" s="1">
        <v>1.0</v>
      </c>
      <c r="B2" s="1" t="s">
        <v>7</v>
      </c>
      <c r="C2" s="1" t="s">
        <v>9</v>
      </c>
      <c r="D2" s="1" t="s">
        <v>10</v>
      </c>
      <c r="E2" s="1" t="s">
        <v>33</v>
      </c>
      <c r="F2" s="1">
        <v>16.0</v>
      </c>
      <c r="I2" s="1" t="s">
        <v>9</v>
      </c>
      <c r="J2" s="2">
        <f>COUNTIF(C2:C24,"Mach Flas")</f>
        <v>5</v>
      </c>
      <c r="L2" s="1" t="s">
        <v>39</v>
      </c>
      <c r="M2" s="3">
        <f>COUNTIF(D2:D31,"v")/COUNTA(D2:D31)</f>
        <v>0.06666666667</v>
      </c>
    </row>
    <row r="3">
      <c r="A3" s="1">
        <v>2.0</v>
      </c>
      <c r="B3" s="1" t="s">
        <v>11</v>
      </c>
      <c r="C3" s="1" t="s">
        <v>12</v>
      </c>
      <c r="D3" s="1" t="s">
        <v>10</v>
      </c>
      <c r="E3" s="1" t="s">
        <v>33</v>
      </c>
      <c r="F3" s="1">
        <v>16.0</v>
      </c>
      <c r="I3" s="1" t="s">
        <v>16</v>
      </c>
      <c r="J3" s="2">
        <f>COUNTIF(C2:C24,"Cobra Kai")</f>
        <v>4</v>
      </c>
    </row>
    <row r="4">
      <c r="A4" s="1">
        <v>3.0</v>
      </c>
      <c r="B4" s="1" t="s">
        <v>13</v>
      </c>
      <c r="C4" s="1" t="s">
        <v>14</v>
      </c>
      <c r="D4" s="1" t="s">
        <v>10</v>
      </c>
      <c r="E4" s="1" t="s">
        <v>33</v>
      </c>
      <c r="F4" s="1">
        <v>16.0</v>
      </c>
      <c r="I4" s="1" t="s">
        <v>14</v>
      </c>
      <c r="J4" s="2">
        <f>COUNTIF(C2:C24,"The Bear")</f>
        <v>3</v>
      </c>
    </row>
    <row r="5">
      <c r="A5" s="1">
        <v>4.0</v>
      </c>
      <c r="B5" s="1" t="s">
        <v>15</v>
      </c>
      <c r="C5" s="1" t="s">
        <v>16</v>
      </c>
      <c r="D5" s="1" t="s">
        <v>10</v>
      </c>
      <c r="E5" s="1" t="s">
        <v>33</v>
      </c>
      <c r="F5" s="1">
        <v>16.0</v>
      </c>
      <c r="I5" s="1" t="s">
        <v>12</v>
      </c>
      <c r="J5" s="2">
        <f>COUNTIF(C2:C24,"Justiceiros")</f>
        <v>4</v>
      </c>
    </row>
    <row r="6">
      <c r="A6" s="1">
        <v>5.0</v>
      </c>
      <c r="B6" s="1" t="s">
        <v>17</v>
      </c>
      <c r="C6" s="1" t="s">
        <v>14</v>
      </c>
      <c r="D6" s="1" t="s">
        <v>10</v>
      </c>
      <c r="E6" s="1" t="s">
        <v>33</v>
      </c>
      <c r="F6" s="1">
        <v>16.0</v>
      </c>
      <c r="I6" s="1" t="s">
        <v>22</v>
      </c>
      <c r="J6" s="2">
        <f>COUNTIF(C2:C24,"Tropa do VTZ")</f>
        <v>5</v>
      </c>
    </row>
    <row r="7">
      <c r="A7" s="1">
        <v>6.0</v>
      </c>
      <c r="B7" s="1" t="s">
        <v>18</v>
      </c>
      <c r="C7" s="1" t="s">
        <v>12</v>
      </c>
      <c r="D7" s="1" t="s">
        <v>10</v>
      </c>
      <c r="E7" s="1" t="s">
        <v>33</v>
      </c>
      <c r="F7" s="1">
        <v>16.0</v>
      </c>
      <c r="I7" s="1" t="s">
        <v>28</v>
      </c>
      <c r="J7" s="2">
        <f>COUNTIF(C2:C24,"The Extra")</f>
        <v>2</v>
      </c>
    </row>
    <row r="8">
      <c r="A8" s="1">
        <v>7.0</v>
      </c>
      <c r="B8" s="1" t="s">
        <v>19</v>
      </c>
      <c r="C8" s="1" t="s">
        <v>16</v>
      </c>
      <c r="D8" s="1" t="s">
        <v>10</v>
      </c>
      <c r="E8" s="1" t="s">
        <v>33</v>
      </c>
      <c r="F8" s="1">
        <v>16.0</v>
      </c>
      <c r="I8" s="1" t="s">
        <v>40</v>
      </c>
      <c r="J8" s="2">
        <f>COUNTIF(C2:C30, "equipes")</f>
        <v>5</v>
      </c>
    </row>
    <row r="9">
      <c r="A9" s="1">
        <v>8.0</v>
      </c>
      <c r="B9" s="1" t="s">
        <v>20</v>
      </c>
      <c r="C9" s="1" t="s">
        <v>16</v>
      </c>
      <c r="D9" s="1" t="s">
        <v>10</v>
      </c>
      <c r="E9" s="1" t="s">
        <v>33</v>
      </c>
      <c r="F9" s="1">
        <v>16.0</v>
      </c>
      <c r="I9" s="1" t="s">
        <v>41</v>
      </c>
      <c r="J9" s="2">
        <f>COUNTIF(C2:C31,"especial")</f>
        <v>2</v>
      </c>
    </row>
    <row r="10">
      <c r="A10" s="1">
        <v>9.0</v>
      </c>
      <c r="B10" s="1" t="s">
        <v>21</v>
      </c>
      <c r="C10" s="1" t="s">
        <v>22</v>
      </c>
      <c r="D10" s="1" t="s">
        <v>10</v>
      </c>
      <c r="E10" s="1" t="s">
        <v>33</v>
      </c>
      <c r="F10" s="1">
        <v>16.0</v>
      </c>
    </row>
    <row r="11">
      <c r="A11" s="1">
        <v>10.0</v>
      </c>
      <c r="B11" s="1" t="s">
        <v>23</v>
      </c>
      <c r="C11" s="1" t="s">
        <v>12</v>
      </c>
      <c r="D11" s="1" t="s">
        <v>10</v>
      </c>
      <c r="E11" s="1" t="s">
        <v>33</v>
      </c>
      <c r="F11" s="1">
        <v>16.0</v>
      </c>
    </row>
    <row r="12">
      <c r="A12" s="1">
        <v>11.0</v>
      </c>
      <c r="B12" s="1" t="s">
        <v>24</v>
      </c>
      <c r="C12" s="1" t="s">
        <v>9</v>
      </c>
      <c r="D12" s="1" t="s">
        <v>10</v>
      </c>
      <c r="E12" s="1" t="s">
        <v>33</v>
      </c>
      <c r="F12" s="1">
        <v>16.0</v>
      </c>
    </row>
    <row r="13">
      <c r="A13" s="1">
        <v>12.0</v>
      </c>
      <c r="B13" s="1" t="s">
        <v>25</v>
      </c>
      <c r="C13" s="1" t="s">
        <v>9</v>
      </c>
      <c r="D13" s="1" t="s">
        <v>10</v>
      </c>
      <c r="E13" s="1" t="s">
        <v>33</v>
      </c>
      <c r="F13" s="1">
        <v>16.0</v>
      </c>
    </row>
    <row r="14">
      <c r="A14" s="1">
        <v>13.0</v>
      </c>
      <c r="B14" s="1" t="s">
        <v>26</v>
      </c>
      <c r="C14" s="1" t="s">
        <v>16</v>
      </c>
      <c r="D14" s="1" t="s">
        <v>42</v>
      </c>
      <c r="E14" s="1" t="s">
        <v>33</v>
      </c>
      <c r="F14" s="1">
        <v>16.0</v>
      </c>
    </row>
    <row r="15">
      <c r="A15" s="1">
        <v>14.0</v>
      </c>
      <c r="B15" s="1" t="s">
        <v>27</v>
      </c>
      <c r="C15" s="1" t="s">
        <v>28</v>
      </c>
      <c r="D15" s="1" t="s">
        <v>10</v>
      </c>
      <c r="E15" s="1" t="s">
        <v>33</v>
      </c>
      <c r="F15" s="1">
        <v>16.0</v>
      </c>
    </row>
    <row r="16">
      <c r="A16" s="1">
        <v>15.0</v>
      </c>
      <c r="B16" s="1" t="s">
        <v>29</v>
      </c>
      <c r="C16" s="1" t="s">
        <v>12</v>
      </c>
      <c r="D16" s="1" t="s">
        <v>10</v>
      </c>
      <c r="E16" s="1" t="s">
        <v>33</v>
      </c>
      <c r="F16" s="1">
        <v>16.0</v>
      </c>
    </row>
    <row r="17">
      <c r="A17" s="1">
        <v>16.0</v>
      </c>
      <c r="B17" s="1" t="s">
        <v>30</v>
      </c>
      <c r="C17" s="1" t="s">
        <v>14</v>
      </c>
      <c r="D17" s="1" t="s">
        <v>10</v>
      </c>
      <c r="E17" s="1" t="s">
        <v>33</v>
      </c>
      <c r="F17" s="1">
        <v>16.0</v>
      </c>
    </row>
    <row r="18">
      <c r="A18" s="1">
        <v>17.0</v>
      </c>
      <c r="B18" s="1" t="s">
        <v>31</v>
      </c>
      <c r="C18" s="1" t="s">
        <v>9</v>
      </c>
      <c r="D18" s="1" t="s">
        <v>42</v>
      </c>
      <c r="E18" s="1" t="s">
        <v>33</v>
      </c>
      <c r="F18" s="1">
        <v>15.0</v>
      </c>
    </row>
    <row r="19">
      <c r="A19" s="1">
        <v>18.0</v>
      </c>
      <c r="B19" s="1" t="s">
        <v>32</v>
      </c>
      <c r="C19" s="1" t="s">
        <v>9</v>
      </c>
      <c r="D19" s="1" t="s">
        <v>10</v>
      </c>
      <c r="E19" s="1" t="s">
        <v>33</v>
      </c>
      <c r="F19" s="1">
        <v>16.0</v>
      </c>
    </row>
    <row r="20">
      <c r="A20" s="1">
        <v>19.0</v>
      </c>
      <c r="B20" s="1" t="s">
        <v>34</v>
      </c>
      <c r="C20" s="1" t="s">
        <v>28</v>
      </c>
      <c r="D20" s="1" t="s">
        <v>10</v>
      </c>
      <c r="E20" s="1" t="s">
        <v>33</v>
      </c>
      <c r="F20" s="1">
        <v>16.0</v>
      </c>
    </row>
    <row r="21">
      <c r="A21" s="1">
        <v>20.0</v>
      </c>
      <c r="B21" s="1" t="s">
        <v>35</v>
      </c>
      <c r="C21" s="1" t="s">
        <v>22</v>
      </c>
      <c r="D21" s="1" t="s">
        <v>10</v>
      </c>
      <c r="E21" s="1" t="s">
        <v>33</v>
      </c>
      <c r="F21" s="1">
        <v>15.0</v>
      </c>
    </row>
    <row r="22">
      <c r="A22" s="1">
        <v>21.0</v>
      </c>
      <c r="B22" s="1" t="s">
        <v>36</v>
      </c>
      <c r="C22" s="1" t="s">
        <v>22</v>
      </c>
      <c r="D22" s="1" t="s">
        <v>10</v>
      </c>
      <c r="E22" s="1" t="s">
        <v>33</v>
      </c>
      <c r="F22" s="1">
        <v>16.0</v>
      </c>
    </row>
    <row r="23">
      <c r="A23" s="1">
        <v>22.0</v>
      </c>
      <c r="B23" s="1" t="s">
        <v>37</v>
      </c>
      <c r="C23" s="1" t="s">
        <v>22</v>
      </c>
      <c r="D23" s="1" t="s">
        <v>10</v>
      </c>
      <c r="E23" s="1" t="s">
        <v>33</v>
      </c>
      <c r="F23" s="1">
        <v>16.0</v>
      </c>
    </row>
    <row r="24">
      <c r="A24" s="1">
        <v>23.0</v>
      </c>
      <c r="B24" s="1" t="s">
        <v>38</v>
      </c>
      <c r="C24" s="1" t="s">
        <v>22</v>
      </c>
      <c r="D24" s="1" t="s">
        <v>10</v>
      </c>
      <c r="E24" s="1" t="s">
        <v>33</v>
      </c>
      <c r="F24" s="1">
        <v>16.0</v>
      </c>
    </row>
    <row r="25">
      <c r="A25" s="1">
        <v>24.0</v>
      </c>
      <c r="B25" s="1" t="s">
        <v>22</v>
      </c>
      <c r="C25" s="1" t="s">
        <v>40</v>
      </c>
      <c r="D25" s="1" t="s">
        <v>10</v>
      </c>
      <c r="E25" s="1" t="s">
        <v>43</v>
      </c>
      <c r="F25" s="1">
        <v>1.0</v>
      </c>
    </row>
    <row r="26">
      <c r="A26" s="1">
        <v>25.0</v>
      </c>
      <c r="B26" s="1" t="s">
        <v>28</v>
      </c>
      <c r="C26" s="1" t="s">
        <v>40</v>
      </c>
      <c r="D26" s="1" t="s">
        <v>10</v>
      </c>
      <c r="E26" s="1" t="s">
        <v>43</v>
      </c>
      <c r="F26" s="1">
        <v>1.0</v>
      </c>
    </row>
    <row r="27">
      <c r="A27" s="1">
        <v>26.0</v>
      </c>
      <c r="B27" s="1" t="s">
        <v>14</v>
      </c>
      <c r="C27" s="1" t="s">
        <v>40</v>
      </c>
      <c r="D27" s="1" t="s">
        <v>10</v>
      </c>
      <c r="E27" s="1" t="s">
        <v>43</v>
      </c>
      <c r="F27" s="1">
        <v>1.0</v>
      </c>
    </row>
    <row r="28">
      <c r="A28" s="1">
        <v>27.0</v>
      </c>
      <c r="B28" s="1" t="s">
        <v>12</v>
      </c>
      <c r="C28" s="1" t="s">
        <v>40</v>
      </c>
      <c r="D28" s="1" t="s">
        <v>10</v>
      </c>
      <c r="E28" s="1" t="s">
        <v>43</v>
      </c>
      <c r="F28" s="1">
        <v>1.0</v>
      </c>
    </row>
    <row r="29">
      <c r="A29" s="1">
        <v>28.0</v>
      </c>
      <c r="B29" s="1" t="s">
        <v>16</v>
      </c>
      <c r="C29" s="1" t="s">
        <v>40</v>
      </c>
      <c r="D29" s="1" t="s">
        <v>10</v>
      </c>
      <c r="E29" s="1" t="s">
        <v>43</v>
      </c>
      <c r="F29" s="1">
        <v>1.0</v>
      </c>
    </row>
    <row r="30">
      <c r="A30" s="1">
        <v>29.0</v>
      </c>
      <c r="B30" s="1" t="s">
        <v>44</v>
      </c>
      <c r="C30" s="1" t="s">
        <v>41</v>
      </c>
      <c r="D30" s="1" t="s">
        <v>10</v>
      </c>
      <c r="E30" s="1" t="s">
        <v>45</v>
      </c>
      <c r="F30" s="1">
        <v>32.0</v>
      </c>
    </row>
    <row r="31">
      <c r="A31" s="1">
        <v>30.0</v>
      </c>
      <c r="B31" s="1" t="s">
        <v>46</v>
      </c>
      <c r="C31" s="1" t="s">
        <v>41</v>
      </c>
      <c r="D31" s="1" t="s">
        <v>10</v>
      </c>
      <c r="E31" s="1" t="s">
        <v>45</v>
      </c>
      <c r="F31" s="1">
        <v>1.0</v>
      </c>
    </row>
    <row r="32">
      <c r="C32" s="1"/>
    </row>
  </sheetData>
  <mergeCells count="1">
    <mergeCell ref="I1:J1"/>
  </mergeCells>
  <dataValidations>
    <dataValidation type="list" allowBlank="1" showErrorMessage="1" sqref="E25:E29">
      <formula1>"grupos"</formula1>
    </dataValidation>
    <dataValidation type="list" allowBlank="1" showErrorMessage="1" sqref="C2:C24">
      <formula1>"Cobra Kai,Justiceiros,Mach Flas,The Bear,The Extra,Tropa do VTZ"</formula1>
    </dataValidation>
    <dataValidation type="list" allowBlank="1" showErrorMessage="1" sqref="C25:C31">
      <formula1>"equipes,especial"</formula1>
    </dataValidation>
    <dataValidation type="list" allowBlank="1" showErrorMessage="1" sqref="D2:D31">
      <formula1>"F,v"</formula1>
    </dataValidation>
    <dataValidation type="list" allowBlank="1" showErrorMessage="1" sqref="E2:E24">
      <formula1>"aluno"</formula1>
    </dataValidation>
    <dataValidation type="list" allowBlank="1" showErrorMessage="1" sqref="E30:E31">
      <formula1>"turma"</formula1>
    </dataValidation>
  </dataValidations>
  <drawing r:id="rId1"/>
</worksheet>
</file>